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swisstennis.sharepoint.com/sites/Wettkampf/Freigegebene Dokumente/General/Klassierungen/Berechnungen/"/>
    </mc:Choice>
  </mc:AlternateContent>
  <xr:revisionPtr revIDLastSave="0" documentId="13_ncr:1_{120999A3-E0A4-49EC-AF07-FD60AFA9746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D" sheetId="1" r:id="rId1"/>
    <sheet name="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30" i="3"/>
  <c r="D29" i="3"/>
  <c r="D28" i="3"/>
  <c r="D27" i="3"/>
  <c r="D26" i="3"/>
  <c r="D25" i="3"/>
  <c r="G24" i="3"/>
  <c r="D24" i="3"/>
  <c r="G23" i="3"/>
  <c r="D23" i="3"/>
  <c r="D22" i="3"/>
  <c r="G21" i="3"/>
  <c r="D21" i="3"/>
  <c r="D20" i="3"/>
  <c r="G11" i="3"/>
  <c r="F19" i="3" s="1"/>
  <c r="G19" i="3" s="1"/>
  <c r="G33" i="3" s="1"/>
  <c r="G34" i="3" s="1"/>
  <c r="C19" i="3" l="1"/>
  <c r="D19" i="3" s="1"/>
  <c r="D33" i="3" s="1"/>
  <c r="D34" i="3" s="1"/>
  <c r="G11" i="1"/>
  <c r="J37" i="3" l="1"/>
  <c r="J36" i="3"/>
  <c r="C19" i="1"/>
  <c r="D19" i="1" s="1"/>
  <c r="F19" i="1"/>
  <c r="G19" i="1" s="1"/>
  <c r="G21" i="1"/>
  <c r="G23" i="1"/>
  <c r="G24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 l="1"/>
  <c r="D34" i="1" s="1"/>
  <c r="G33" i="1"/>
  <c r="G34" i="1" s="1"/>
  <c r="J37" i="1" l="1"/>
  <c r="J36" i="1"/>
</calcChain>
</file>

<file path=xl/sharedStrings.xml><?xml version="1.0" encoding="utf-8"?>
<sst xmlns="http://schemas.openxmlformats.org/spreadsheetml/2006/main" count="42" uniqueCount="27">
  <si>
    <t>Siege</t>
  </si>
  <si>
    <t>Niederlagen</t>
  </si>
  <si>
    <t>W</t>
  </si>
  <si>
    <t>R</t>
  </si>
  <si>
    <t>neue Werte</t>
  </si>
  <si>
    <t>Interpolation</t>
  </si>
  <si>
    <t>Spieler</t>
  </si>
  <si>
    <t>W0</t>
  </si>
  <si>
    <t>Mittelwert/Zielwert bei unterer Klassierung</t>
  </si>
  <si>
    <t>Mittelwert/Zielwert bei oberer Klassierung</t>
  </si>
  <si>
    <t>Berechnung der neuen Klassierung</t>
  </si>
  <si>
    <t>(inkl. Sieg/Niederlage gegen eigenes W0)</t>
  </si>
  <si>
    <t>Der W5 der letzen Klassierungsperiode ist der W alt für die neue Berechnung</t>
  </si>
  <si>
    <t>Der Wert wird in den Ausgangswert für die Klassierung W_0  interpoliert</t>
  </si>
  <si>
    <t xml:space="preserve"> W5 / W_alt</t>
  </si>
  <si>
    <t xml:space="preserve">Die Interpoplation wird mit den Mittelwerten der oberen und unteren  Klassierung (Beispiel 9,246 für R1 7.978 für R2) </t>
  </si>
  <si>
    <t>und den Konstanten 1=R8, 2=R7, 3=R6, 4=R5, 5=R4, 6=R3, 7=R2, 8=R1, 9=N4, 10=N3, 11=N2 berechnet</t>
  </si>
  <si>
    <t>Der Sieg und die Niederlage gegen sich selber  wird in allen Klassierungsläufen mit dem eigenen W_= berechnet (nicht eigener W4Lauf)</t>
  </si>
  <si>
    <t>Die Mittelwerte pro Klassierungskategorie werden jedesmal vor der Klassierung neu berechnet, dabei gibt es minime Abweichungen von Saison zu Saison</t>
  </si>
  <si>
    <t xml:space="preserve">Diese Werte werden nicht öffentlich gemacht. </t>
  </si>
  <si>
    <t>La W5 de la dernière période de classement est la W de la période précédente pour le nouveau calcul.</t>
  </si>
  <si>
    <t>La valeur est interpolée dans la valeur de départ du classement W_0.</t>
  </si>
  <si>
    <t xml:space="preserve">L’interpolation est calculée à l’aide des valeurs moyennes du classement supérieur et inférieur (exemple 9,246 pour R1, 7.978 pour R2)  </t>
  </si>
  <si>
    <t>et des constantes 1=R8, 2=R7, 3=R6, 4=R5, 5=R4, 6=R3, 7=R2, 8=R1, 9=N4, 10=N3, 11=N2.</t>
  </si>
  <si>
    <t>La victoire et la défaite contre soi-même sont calculées dans toutes les parties de classement au moyen de la W_= propre (pas sa propre partie W4).</t>
  </si>
  <si>
    <t xml:space="preserve">Les valeurs moyennes de chaque catégorie de classement sont recalculées avant chaque classement, ces valeurs présentant des variations minimes de saison en saison. </t>
  </si>
  <si>
    <t>Ces valeurs ne sont pas rendues publiques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</si>
</sst>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2" x14ac:knownFonts="1"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5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6" xfId="0" applyBorder="1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164" fontId="0" fillId="3" borderId="0" xfId="0" applyNumberFormat="1" applyFill="1"/>
    <xf numFmtId="164" fontId="0" fillId="3" borderId="7" xfId="0" applyNumberFormat="1" applyFill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8"/>
  <sheetViews>
    <sheetView tabSelected="1" workbookViewId="0">
      <selection activeCell="Q22" sqref="Q22"/>
    </sheetView>
  </sheetViews>
  <sheetFormatPr baseColWidth="10" defaultRowHeight="14" x14ac:dyDescent="0.3"/>
  <cols>
    <col min="1" max="2" width="3.58203125" customWidth="1"/>
    <col min="3" max="4" width="7.58203125" customWidth="1"/>
    <col min="5" max="5" width="35" bestFit="1" customWidth="1"/>
    <col min="6" max="6" width="7.58203125" customWidth="1"/>
    <col min="7" max="7" width="9.58203125" customWidth="1"/>
    <col min="8" max="8" width="3.58203125" customWidth="1"/>
    <col min="9" max="9" width="4.58203125" customWidth="1"/>
    <col min="10" max="10" width="7.58203125" customWidth="1"/>
    <col min="11" max="11" width="3.58203125" customWidth="1"/>
  </cols>
  <sheetData>
    <row r="2" spans="2:12" x14ac:dyDescent="0.3">
      <c r="D2" s="2"/>
      <c r="E2" s="3"/>
      <c r="F2" s="3"/>
      <c r="G2" s="3"/>
      <c r="H2" s="4"/>
    </row>
    <row r="3" spans="2:12" x14ac:dyDescent="0.3">
      <c r="D3" s="5"/>
      <c r="E3" s="11" t="s">
        <v>5</v>
      </c>
      <c r="F3" s="6"/>
      <c r="G3" s="6"/>
      <c r="H3" s="7"/>
    </row>
    <row r="4" spans="2:12" x14ac:dyDescent="0.3">
      <c r="D4" s="5"/>
      <c r="E4" s="6"/>
      <c r="F4" s="6" t="s">
        <v>14</v>
      </c>
      <c r="G4" s="6" t="s">
        <v>7</v>
      </c>
      <c r="H4" s="7"/>
    </row>
    <row r="5" spans="2:12" x14ac:dyDescent="0.3">
      <c r="D5" s="5"/>
      <c r="E5" s="6"/>
      <c r="F5" s="6"/>
      <c r="G5" s="6"/>
      <c r="H5" s="7"/>
      <c r="L5" t="s">
        <v>12</v>
      </c>
    </row>
    <row r="6" spans="2:12" x14ac:dyDescent="0.3">
      <c r="D6" s="5"/>
      <c r="E6" s="6" t="s">
        <v>6</v>
      </c>
      <c r="F6" s="15">
        <v>2.762</v>
      </c>
      <c r="G6" s="6"/>
      <c r="H6" s="7"/>
      <c r="L6" t="s">
        <v>13</v>
      </c>
    </row>
    <row r="7" spans="2:12" x14ac:dyDescent="0.3">
      <c r="D7" s="5"/>
      <c r="E7" s="6"/>
      <c r="F7" s="6"/>
      <c r="G7" s="6"/>
      <c r="H7" s="7"/>
      <c r="L7" t="s">
        <v>15</v>
      </c>
    </row>
    <row r="8" spans="2:12" x14ac:dyDescent="0.3">
      <c r="D8" s="5"/>
      <c r="E8" s="6" t="s">
        <v>9</v>
      </c>
      <c r="F8" s="19">
        <v>3.5779999999999998</v>
      </c>
      <c r="G8" s="20">
        <v>3</v>
      </c>
      <c r="H8" s="7"/>
      <c r="L8" t="s">
        <v>16</v>
      </c>
    </row>
    <row r="9" spans="2:12" x14ac:dyDescent="0.3">
      <c r="D9" s="5"/>
      <c r="E9" s="6" t="s">
        <v>8</v>
      </c>
      <c r="F9" s="19">
        <v>1.264</v>
      </c>
      <c r="G9" s="20">
        <v>1</v>
      </c>
      <c r="H9" s="7"/>
    </row>
    <row r="10" spans="2:12" x14ac:dyDescent="0.3">
      <c r="D10" s="5"/>
      <c r="E10" s="6"/>
      <c r="F10" s="15"/>
      <c r="G10" s="6"/>
      <c r="H10" s="7"/>
      <c r="L10" t="s">
        <v>17</v>
      </c>
    </row>
    <row r="11" spans="2:12" x14ac:dyDescent="0.3">
      <c r="D11" s="5"/>
      <c r="E11" s="6" t="s">
        <v>6</v>
      </c>
      <c r="G11" s="22">
        <f>G9+(F6-F9)/(F8-F9)*(G8-G9)</f>
        <v>2.2947277441659466</v>
      </c>
      <c r="H11" s="7"/>
    </row>
    <row r="12" spans="2:12" x14ac:dyDescent="0.3">
      <c r="D12" s="8"/>
      <c r="E12" s="9"/>
      <c r="F12" s="9"/>
      <c r="G12" s="9"/>
      <c r="H12" s="10"/>
      <c r="L12" t="s">
        <v>18</v>
      </c>
    </row>
    <row r="13" spans="2:12" x14ac:dyDescent="0.3">
      <c r="L13" t="s">
        <v>19</v>
      </c>
    </row>
    <row r="14" spans="2:12" x14ac:dyDescent="0.3">
      <c r="B14" s="2"/>
      <c r="C14" s="3"/>
      <c r="D14" s="3"/>
      <c r="E14" s="3"/>
      <c r="F14" s="3"/>
      <c r="G14" s="3"/>
      <c r="H14" s="3"/>
      <c r="I14" s="3"/>
      <c r="J14" s="3"/>
      <c r="K14" s="4"/>
    </row>
    <row r="15" spans="2:12" x14ac:dyDescent="0.3">
      <c r="B15" s="5"/>
      <c r="E15" s="11" t="s">
        <v>10</v>
      </c>
      <c r="K15" s="7"/>
    </row>
    <row r="16" spans="2:12" x14ac:dyDescent="0.3">
      <c r="B16" s="5"/>
      <c r="K16" s="7"/>
    </row>
    <row r="17" spans="2:11" x14ac:dyDescent="0.3">
      <c r="B17" s="5"/>
      <c r="C17" t="s">
        <v>0</v>
      </c>
      <c r="F17" t="s">
        <v>1</v>
      </c>
      <c r="K17" s="7"/>
    </row>
    <row r="18" spans="2:11" x14ac:dyDescent="0.3">
      <c r="B18" s="5"/>
      <c r="K18" s="7"/>
    </row>
    <row r="19" spans="2:11" x14ac:dyDescent="0.3">
      <c r="B19" s="5"/>
      <c r="C19" s="21">
        <f>ROUND(G11,3)</f>
        <v>2.2949999999999999</v>
      </c>
      <c r="D19" s="12">
        <f>EXP(C19)</f>
        <v>9.9244360122853479</v>
      </c>
      <c r="E19" s="11" t="s">
        <v>11</v>
      </c>
      <c r="F19" s="21">
        <f>ROUND(G11,3)</f>
        <v>2.2949999999999999</v>
      </c>
      <c r="G19" s="13">
        <f>EXP(-F19)</f>
        <v>0.10076139326830373</v>
      </c>
      <c r="K19" s="7"/>
    </row>
    <row r="20" spans="2:11" x14ac:dyDescent="0.3">
      <c r="B20" s="5"/>
      <c r="C20">
        <v>10.590999999999999</v>
      </c>
      <c r="D20" s="12">
        <f t="shared" ref="D20:D31" si="0">EXP(C20)</f>
        <v>39775.24448948323</v>
      </c>
      <c r="F20">
        <v>9.6010000000000009</v>
      </c>
      <c r="G20" s="13"/>
      <c r="K20" s="7"/>
    </row>
    <row r="21" spans="2:11" x14ac:dyDescent="0.3">
      <c r="B21" s="5"/>
      <c r="C21">
        <v>6.0039999999999996</v>
      </c>
      <c r="D21" s="12">
        <f t="shared" si="0"/>
        <v>405.04574040460096</v>
      </c>
      <c r="F21">
        <v>11.824999999999999</v>
      </c>
      <c r="G21" s="13">
        <f t="shared" ref="G21:G24" si="1">EXP(-F21)</f>
        <v>7.3192697199651486E-6</v>
      </c>
      <c r="K21" s="7"/>
    </row>
    <row r="22" spans="2:11" x14ac:dyDescent="0.3">
      <c r="B22" s="5"/>
      <c r="C22">
        <v>4.5979999999999999</v>
      </c>
      <c r="D22" s="12">
        <f t="shared" si="0"/>
        <v>99.285545846701751</v>
      </c>
      <c r="F22">
        <v>10.955</v>
      </c>
      <c r="G22" s="13"/>
      <c r="K22" s="7"/>
    </row>
    <row r="23" spans="2:11" x14ac:dyDescent="0.3">
      <c r="B23" s="5"/>
      <c r="C23">
        <v>8.5879999999999992</v>
      </c>
      <c r="D23" s="12">
        <f t="shared" si="0"/>
        <v>5366.8691961209497</v>
      </c>
      <c r="F23">
        <v>12.161</v>
      </c>
      <c r="G23" s="13">
        <f t="shared" si="1"/>
        <v>5.2305192595869166E-6</v>
      </c>
      <c r="K23" s="7"/>
    </row>
    <row r="24" spans="2:11" x14ac:dyDescent="0.3">
      <c r="B24" s="5"/>
      <c r="C24">
        <v>6.9729999999999999</v>
      </c>
      <c r="D24" s="12">
        <f t="shared" si="0"/>
        <v>1067.4202125846791</v>
      </c>
      <c r="F24">
        <v>11.474</v>
      </c>
      <c r="G24" s="13">
        <f t="shared" si="1"/>
        <v>1.0396929872143386E-5</v>
      </c>
      <c r="K24" s="7"/>
    </row>
    <row r="25" spans="2:11" x14ac:dyDescent="0.3">
      <c r="B25" s="5"/>
      <c r="C25">
        <v>7.758</v>
      </c>
      <c r="D25" s="12">
        <f t="shared" si="0"/>
        <v>2340.2194827495755</v>
      </c>
      <c r="F25">
        <v>9.9760000000000009</v>
      </c>
      <c r="G25" s="13"/>
      <c r="K25" s="7"/>
    </row>
    <row r="26" spans="2:11" x14ac:dyDescent="0.3">
      <c r="B26" s="5"/>
      <c r="C26">
        <v>9.2460000000000004</v>
      </c>
      <c r="D26" s="12">
        <f t="shared" si="0"/>
        <v>10363.030579349077</v>
      </c>
      <c r="K26" s="7"/>
    </row>
    <row r="27" spans="2:11" x14ac:dyDescent="0.3">
      <c r="B27" s="5"/>
      <c r="C27">
        <v>7.3719999999999999</v>
      </c>
      <c r="D27" s="12">
        <f t="shared" si="0"/>
        <v>1590.8122279960076</v>
      </c>
      <c r="K27" s="7"/>
    </row>
    <row r="28" spans="2:11" x14ac:dyDescent="0.3">
      <c r="B28" s="5"/>
      <c r="C28">
        <v>7.9009999999999998</v>
      </c>
      <c r="D28" s="12">
        <f t="shared" si="0"/>
        <v>2699.9809596876003</v>
      </c>
      <c r="K28" s="7"/>
    </row>
    <row r="29" spans="2:11" x14ac:dyDescent="0.3">
      <c r="B29" s="5"/>
      <c r="C29">
        <v>7.0119999999999996</v>
      </c>
      <c r="D29" s="12">
        <f t="shared" si="0"/>
        <v>1109.8720306971256</v>
      </c>
      <c r="K29" s="7"/>
    </row>
    <row r="30" spans="2:11" x14ac:dyDescent="0.3">
      <c r="B30" s="5"/>
      <c r="C30">
        <v>5.6589999999999998</v>
      </c>
      <c r="D30" s="12">
        <f t="shared" si="0"/>
        <v>286.86163743997332</v>
      </c>
      <c r="K30" s="7"/>
    </row>
    <row r="31" spans="2:11" x14ac:dyDescent="0.3">
      <c r="B31" s="5"/>
      <c r="C31">
        <v>3.528</v>
      </c>
      <c r="D31" s="12">
        <f t="shared" si="0"/>
        <v>34.055787881984202</v>
      </c>
      <c r="K31" s="7"/>
    </row>
    <row r="32" spans="2:11" x14ac:dyDescent="0.3">
      <c r="B32" s="5"/>
      <c r="K32" s="7"/>
    </row>
    <row r="33" spans="2:11" x14ac:dyDescent="0.3">
      <c r="B33" s="5"/>
      <c r="D33" s="12">
        <f>SUM(D19:D31)</f>
        <v>65148.622326253782</v>
      </c>
      <c r="G33" s="13">
        <f>SUM(G19:G25)</f>
        <v>0.10078433998715543</v>
      </c>
      <c r="K33" s="7"/>
    </row>
    <row r="34" spans="2:11" x14ac:dyDescent="0.3">
      <c r="B34" s="5"/>
      <c r="D34" s="14">
        <f>LN(D33)</f>
        <v>11.084426436147577</v>
      </c>
      <c r="G34" s="14">
        <f>-LN(G33)</f>
        <v>2.294772292684343</v>
      </c>
      <c r="K34" s="7"/>
    </row>
    <row r="35" spans="2:11" x14ac:dyDescent="0.3">
      <c r="B35" s="5"/>
      <c r="I35" s="25" t="s">
        <v>4</v>
      </c>
      <c r="J35" s="26"/>
      <c r="K35" s="7"/>
    </row>
    <row r="36" spans="2:11" x14ac:dyDescent="0.3">
      <c r="B36" s="5"/>
      <c r="I36" s="16" t="s">
        <v>2</v>
      </c>
      <c r="J36" s="17">
        <f>ROUND((D34+G34)/2,3)</f>
        <v>6.69</v>
      </c>
      <c r="K36" s="7"/>
    </row>
    <row r="37" spans="2:11" x14ac:dyDescent="0.3">
      <c r="B37" s="5"/>
      <c r="I37" s="1" t="s">
        <v>3</v>
      </c>
      <c r="J37" s="18">
        <f>ROUND((D34-G34)/6,3)</f>
        <v>1.4650000000000001</v>
      </c>
      <c r="K37" s="7"/>
    </row>
    <row r="38" spans="2:11" x14ac:dyDescent="0.3">
      <c r="B38" s="8"/>
      <c r="C38" s="9"/>
      <c r="D38" s="9"/>
      <c r="E38" s="9"/>
      <c r="F38" s="9"/>
      <c r="G38" s="9"/>
      <c r="H38" s="9"/>
      <c r="I38" s="9"/>
      <c r="J38" s="9"/>
      <c r="K38" s="10"/>
    </row>
  </sheetData>
  <mergeCells count="1">
    <mergeCell ref="I35:J35"/>
  </mergeCells>
  <pageMargins left="0.70866141732283472" right="0.70866141732283472" top="0.78740157480314965" bottom="0.78740157480314965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F312-1833-4DB6-963C-670AD92D3D96}">
  <sheetPr>
    <pageSetUpPr fitToPage="1"/>
  </sheetPr>
  <dimension ref="B2:L38"/>
  <sheetViews>
    <sheetView workbookViewId="0">
      <selection activeCell="L13" sqref="L13"/>
    </sheetView>
  </sheetViews>
  <sheetFormatPr baseColWidth="10" defaultRowHeight="14" x14ac:dyDescent="0.3"/>
  <cols>
    <col min="1" max="2" width="3.58203125" customWidth="1"/>
    <col min="3" max="4" width="7.58203125" customWidth="1"/>
    <col min="5" max="5" width="35" bestFit="1" customWidth="1"/>
    <col min="6" max="6" width="7.58203125" customWidth="1"/>
    <col min="7" max="7" width="9.58203125" customWidth="1"/>
    <col min="8" max="8" width="3.58203125" customWidth="1"/>
    <col min="9" max="9" width="4.58203125" customWidth="1"/>
    <col min="10" max="10" width="7.58203125" customWidth="1"/>
    <col min="11" max="11" width="3.58203125" customWidth="1"/>
  </cols>
  <sheetData>
    <row r="2" spans="2:12" x14ac:dyDescent="0.3">
      <c r="D2" s="2"/>
      <c r="E2" s="3"/>
      <c r="F2" s="3"/>
      <c r="G2" s="3"/>
      <c r="H2" s="4"/>
    </row>
    <row r="3" spans="2:12" x14ac:dyDescent="0.3">
      <c r="D3" s="5"/>
      <c r="E3" s="11" t="s">
        <v>5</v>
      </c>
      <c r="F3" s="6"/>
      <c r="G3" s="6"/>
      <c r="H3" s="7"/>
    </row>
    <row r="4" spans="2:12" x14ac:dyDescent="0.3">
      <c r="D4" s="5"/>
      <c r="E4" s="6"/>
      <c r="F4" s="6" t="s">
        <v>14</v>
      </c>
      <c r="G4" s="6" t="s">
        <v>7</v>
      </c>
      <c r="H4" s="7"/>
    </row>
    <row r="5" spans="2:12" x14ac:dyDescent="0.3">
      <c r="D5" s="5"/>
      <c r="E5" s="6"/>
      <c r="F5" s="6"/>
      <c r="G5" s="6"/>
      <c r="H5" s="7"/>
      <c r="L5" s="23" t="s">
        <v>20</v>
      </c>
    </row>
    <row r="6" spans="2:12" x14ac:dyDescent="0.3">
      <c r="D6" s="5"/>
      <c r="E6" s="6" t="s">
        <v>6</v>
      </c>
      <c r="F6" s="15">
        <v>2.762</v>
      </c>
      <c r="G6" s="6"/>
      <c r="H6" s="7"/>
      <c r="L6" s="23" t="s">
        <v>21</v>
      </c>
    </row>
    <row r="7" spans="2:12" x14ac:dyDescent="0.3">
      <c r="D7" s="5"/>
      <c r="E7" s="6"/>
      <c r="F7" s="6"/>
      <c r="G7" s="6"/>
      <c r="H7" s="7"/>
      <c r="L7" s="24" t="s">
        <v>22</v>
      </c>
    </row>
    <row r="8" spans="2:12" x14ac:dyDescent="0.3">
      <c r="D8" s="5"/>
      <c r="E8" s="6" t="s">
        <v>9</v>
      </c>
      <c r="F8" s="19">
        <v>3.5779999999999998</v>
      </c>
      <c r="G8" s="20">
        <v>3</v>
      </c>
      <c r="H8" s="7"/>
      <c r="L8" s="24" t="s">
        <v>23</v>
      </c>
    </row>
    <row r="9" spans="2:12" x14ac:dyDescent="0.3">
      <c r="D9" s="5"/>
      <c r="E9" s="6" t="s">
        <v>8</v>
      </c>
      <c r="F9" s="19">
        <v>1.264</v>
      </c>
      <c r="G9" s="20">
        <v>1</v>
      </c>
      <c r="H9" s="7"/>
    </row>
    <row r="10" spans="2:12" x14ac:dyDescent="0.3">
      <c r="D10" s="5"/>
      <c r="E10" s="6"/>
      <c r="F10" s="15"/>
      <c r="G10" s="6"/>
      <c r="H10" s="7"/>
      <c r="L10" s="23" t="s">
        <v>24</v>
      </c>
    </row>
    <row r="11" spans="2:12" x14ac:dyDescent="0.3">
      <c r="D11" s="5"/>
      <c r="E11" s="6" t="s">
        <v>6</v>
      </c>
      <c r="G11" s="22">
        <f>G9+(F6-F9)/(F8-F9)*(G8-G9)</f>
        <v>2.2947277441659466</v>
      </c>
      <c r="H11" s="7"/>
    </row>
    <row r="12" spans="2:12" x14ac:dyDescent="0.3">
      <c r="D12" s="8"/>
      <c r="E12" s="9"/>
      <c r="F12" s="9"/>
      <c r="G12" s="9"/>
      <c r="H12" s="10"/>
      <c r="L12" s="23" t="s">
        <v>25</v>
      </c>
    </row>
    <row r="13" spans="2:12" x14ac:dyDescent="0.3">
      <c r="L13" s="24" t="s">
        <v>26</v>
      </c>
    </row>
    <row r="14" spans="2:12" x14ac:dyDescent="0.3">
      <c r="B14" s="2"/>
      <c r="C14" s="3"/>
      <c r="D14" s="3"/>
      <c r="E14" s="3"/>
      <c r="F14" s="3"/>
      <c r="G14" s="3"/>
      <c r="H14" s="3"/>
      <c r="I14" s="3"/>
      <c r="J14" s="3"/>
      <c r="K14" s="4"/>
    </row>
    <row r="15" spans="2:12" x14ac:dyDescent="0.3">
      <c r="B15" s="5"/>
      <c r="E15" s="11" t="s">
        <v>10</v>
      </c>
      <c r="K15" s="7"/>
    </row>
    <row r="16" spans="2:12" x14ac:dyDescent="0.3">
      <c r="B16" s="5"/>
      <c r="K16" s="7"/>
    </row>
    <row r="17" spans="2:11" x14ac:dyDescent="0.3">
      <c r="B17" s="5"/>
      <c r="C17" t="s">
        <v>0</v>
      </c>
      <c r="F17" t="s">
        <v>1</v>
      </c>
      <c r="K17" s="7"/>
    </row>
    <row r="18" spans="2:11" x14ac:dyDescent="0.3">
      <c r="B18" s="5"/>
      <c r="K18" s="7"/>
    </row>
    <row r="19" spans="2:11" x14ac:dyDescent="0.3">
      <c r="B19" s="5"/>
      <c r="C19" s="21">
        <f>ROUND(G11,3)</f>
        <v>2.2949999999999999</v>
      </c>
      <c r="D19" s="12">
        <f>EXP(C19)</f>
        <v>9.9244360122853479</v>
      </c>
      <c r="E19" s="11" t="s">
        <v>11</v>
      </c>
      <c r="F19" s="21">
        <f>ROUND(G11,3)</f>
        <v>2.2949999999999999</v>
      </c>
      <c r="G19" s="13">
        <f>EXP(-F19)</f>
        <v>0.10076139326830373</v>
      </c>
      <c r="K19" s="7"/>
    </row>
    <row r="20" spans="2:11" x14ac:dyDescent="0.3">
      <c r="B20" s="5"/>
      <c r="C20">
        <v>10.590999999999999</v>
      </c>
      <c r="D20" s="12">
        <f t="shared" ref="D20:D31" si="0">EXP(C20)</f>
        <v>39775.24448948323</v>
      </c>
      <c r="F20">
        <v>9.6010000000000009</v>
      </c>
      <c r="G20" s="13"/>
      <c r="K20" s="7"/>
    </row>
    <row r="21" spans="2:11" x14ac:dyDescent="0.3">
      <c r="B21" s="5"/>
      <c r="C21">
        <v>6.0039999999999996</v>
      </c>
      <c r="D21" s="12">
        <f t="shared" si="0"/>
        <v>405.04574040460096</v>
      </c>
      <c r="F21">
        <v>11.824999999999999</v>
      </c>
      <c r="G21" s="13">
        <f t="shared" ref="G21:G24" si="1">EXP(-F21)</f>
        <v>7.3192697199651486E-6</v>
      </c>
      <c r="K21" s="7"/>
    </row>
    <row r="22" spans="2:11" x14ac:dyDescent="0.3">
      <c r="B22" s="5"/>
      <c r="C22">
        <v>4.5979999999999999</v>
      </c>
      <c r="D22" s="12">
        <f t="shared" si="0"/>
        <v>99.285545846701751</v>
      </c>
      <c r="F22">
        <v>10.955</v>
      </c>
      <c r="G22" s="13"/>
      <c r="K22" s="7"/>
    </row>
    <row r="23" spans="2:11" x14ac:dyDescent="0.3">
      <c r="B23" s="5"/>
      <c r="C23">
        <v>8.5879999999999992</v>
      </c>
      <c r="D23" s="12">
        <f t="shared" si="0"/>
        <v>5366.8691961209497</v>
      </c>
      <c r="F23">
        <v>12.161</v>
      </c>
      <c r="G23" s="13">
        <f t="shared" si="1"/>
        <v>5.2305192595869166E-6</v>
      </c>
      <c r="K23" s="7"/>
    </row>
    <row r="24" spans="2:11" x14ac:dyDescent="0.3">
      <c r="B24" s="5"/>
      <c r="C24">
        <v>6.9729999999999999</v>
      </c>
      <c r="D24" s="12">
        <f t="shared" si="0"/>
        <v>1067.4202125846791</v>
      </c>
      <c r="F24">
        <v>11.474</v>
      </c>
      <c r="G24" s="13">
        <f t="shared" si="1"/>
        <v>1.0396929872143386E-5</v>
      </c>
      <c r="K24" s="7"/>
    </row>
    <row r="25" spans="2:11" x14ac:dyDescent="0.3">
      <c r="B25" s="5"/>
      <c r="C25">
        <v>7.758</v>
      </c>
      <c r="D25" s="12">
        <f t="shared" si="0"/>
        <v>2340.2194827495755</v>
      </c>
      <c r="F25">
        <v>9.9760000000000009</v>
      </c>
      <c r="G25" s="13"/>
      <c r="K25" s="7"/>
    </row>
    <row r="26" spans="2:11" x14ac:dyDescent="0.3">
      <c r="B26" s="5"/>
      <c r="C26">
        <v>9.2460000000000004</v>
      </c>
      <c r="D26" s="12">
        <f t="shared" si="0"/>
        <v>10363.030579349077</v>
      </c>
      <c r="K26" s="7"/>
    </row>
    <row r="27" spans="2:11" x14ac:dyDescent="0.3">
      <c r="B27" s="5"/>
      <c r="C27">
        <v>7.3719999999999999</v>
      </c>
      <c r="D27" s="12">
        <f t="shared" si="0"/>
        <v>1590.8122279960076</v>
      </c>
      <c r="K27" s="7"/>
    </row>
    <row r="28" spans="2:11" x14ac:dyDescent="0.3">
      <c r="B28" s="5"/>
      <c r="C28">
        <v>7.9009999999999998</v>
      </c>
      <c r="D28" s="12">
        <f t="shared" si="0"/>
        <v>2699.9809596876003</v>
      </c>
      <c r="K28" s="7"/>
    </row>
    <row r="29" spans="2:11" x14ac:dyDescent="0.3">
      <c r="B29" s="5"/>
      <c r="C29">
        <v>7.0119999999999996</v>
      </c>
      <c r="D29" s="12">
        <f t="shared" si="0"/>
        <v>1109.8720306971256</v>
      </c>
      <c r="K29" s="7"/>
    </row>
    <row r="30" spans="2:11" x14ac:dyDescent="0.3">
      <c r="B30" s="5"/>
      <c r="C30">
        <v>5.6589999999999998</v>
      </c>
      <c r="D30" s="12">
        <f t="shared" si="0"/>
        <v>286.86163743997332</v>
      </c>
      <c r="K30" s="7"/>
    </row>
    <row r="31" spans="2:11" x14ac:dyDescent="0.3">
      <c r="B31" s="5"/>
      <c r="C31">
        <v>3.528</v>
      </c>
      <c r="D31" s="12">
        <f t="shared" si="0"/>
        <v>34.055787881984202</v>
      </c>
      <c r="K31" s="7"/>
    </row>
    <row r="32" spans="2:11" x14ac:dyDescent="0.3">
      <c r="B32" s="5"/>
      <c r="K32" s="7"/>
    </row>
    <row r="33" spans="2:11" x14ac:dyDescent="0.3">
      <c r="B33" s="5"/>
      <c r="D33" s="12">
        <f>SUM(D19:D31)</f>
        <v>65148.622326253782</v>
      </c>
      <c r="G33" s="13">
        <f>SUM(G19:G25)</f>
        <v>0.10078433998715543</v>
      </c>
      <c r="K33" s="7"/>
    </row>
    <row r="34" spans="2:11" x14ac:dyDescent="0.3">
      <c r="B34" s="5"/>
      <c r="D34" s="14">
        <f>LN(D33)</f>
        <v>11.084426436147577</v>
      </c>
      <c r="G34" s="14">
        <f>-LN(G33)</f>
        <v>2.294772292684343</v>
      </c>
      <c r="K34" s="7"/>
    </row>
    <row r="35" spans="2:11" x14ac:dyDescent="0.3">
      <c r="B35" s="5"/>
      <c r="I35" s="25" t="s">
        <v>4</v>
      </c>
      <c r="J35" s="26"/>
      <c r="K35" s="7"/>
    </row>
    <row r="36" spans="2:11" x14ac:dyDescent="0.3">
      <c r="B36" s="5"/>
      <c r="I36" s="16" t="s">
        <v>2</v>
      </c>
      <c r="J36" s="17">
        <f>ROUND((D34+G34)/2,3)</f>
        <v>6.69</v>
      </c>
      <c r="K36" s="7"/>
    </row>
    <row r="37" spans="2:11" x14ac:dyDescent="0.3">
      <c r="B37" s="5"/>
      <c r="I37" s="1" t="s">
        <v>3</v>
      </c>
      <c r="J37" s="18">
        <f>ROUND((D34-G34)/6,3)</f>
        <v>1.4650000000000001</v>
      </c>
      <c r="K37" s="7"/>
    </row>
    <row r="38" spans="2:11" x14ac:dyDescent="0.3">
      <c r="B38" s="8"/>
      <c r="C38" s="9"/>
      <c r="D38" s="9"/>
      <c r="E38" s="9"/>
      <c r="F38" s="9"/>
      <c r="G38" s="9"/>
      <c r="H38" s="9"/>
      <c r="I38" s="9"/>
      <c r="J38" s="9"/>
      <c r="K38" s="10"/>
    </row>
  </sheetData>
  <mergeCells count="1">
    <mergeCell ref="I35:J35"/>
  </mergeCells>
  <pageMargins left="0.70866141732283472" right="0.70866141732283472" top="0.78740157480314965" bottom="0.78740157480314965" header="0.31496062992125984" footer="0.31496062992125984"/>
  <pageSetup paperSize="9"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2B8D8721229542A2EE9CEC0707BD21" ma:contentTypeVersion="18" ma:contentTypeDescription="Ein neues Dokument erstellen." ma:contentTypeScope="" ma:versionID="f32f5d1300bb5d011cc03b83601c05e3">
  <xsd:schema xmlns:xsd="http://www.w3.org/2001/XMLSchema" xmlns:xs="http://www.w3.org/2001/XMLSchema" xmlns:p="http://schemas.microsoft.com/office/2006/metadata/properties" xmlns:ns2="4d9d46c3-7036-4998-898e-0bef860d99e0" xmlns:ns3="2a977678-60fb-4931-b2a6-9179d01a08ec" targetNamespace="http://schemas.microsoft.com/office/2006/metadata/properties" ma:root="true" ma:fieldsID="b3bbf65ce3868f73ddeb4e9159041854" ns2:_="" ns3:_="">
    <xsd:import namespace="4d9d46c3-7036-4998-898e-0bef860d99e0"/>
    <xsd:import namespace="2a977678-60fb-4931-b2a6-9179d01a08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d46c3-7036-4998-898e-0bef860d9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c118ed99-4cda-48c0-b540-2dc2515f9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77678-60fb-4931-b2a6-9179d01a08e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df97389-1ba5-4a0d-b084-c19c459d8cbd}" ma:internalName="TaxCatchAll" ma:showField="CatchAllData" ma:web="2a977678-60fb-4931-b2a6-9179d01a08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9d46c3-7036-4998-898e-0bef860d99e0">
      <Terms xmlns="http://schemas.microsoft.com/office/infopath/2007/PartnerControls"/>
    </lcf76f155ced4ddcb4097134ff3c332f>
    <TaxCatchAll xmlns="2a977678-60fb-4931-b2a6-9179d01a08ec" xsi:nil="true"/>
  </documentManagement>
</p:properties>
</file>

<file path=customXml/itemProps1.xml><?xml version="1.0" encoding="utf-8"?>
<ds:datastoreItem xmlns:ds="http://schemas.openxmlformats.org/officeDocument/2006/customXml" ds:itemID="{6716ABA5-4B66-47DE-8780-5FC9A41EBA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8DE91-0C47-47A5-B410-1FDBEB7984AA}"/>
</file>

<file path=customXml/itemProps3.xml><?xml version="1.0" encoding="utf-8"?>
<ds:datastoreItem xmlns:ds="http://schemas.openxmlformats.org/officeDocument/2006/customXml" ds:itemID="{600A3E3E-A221-41FE-AB9C-808081AED6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</vt:lpstr>
      <vt:lpstr>F</vt:lpstr>
    </vt:vector>
  </TitlesOfParts>
  <Company>Schweizerische Mobiliar Versicherungsgesellschaft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Hämmerli Roger</dc:creator>
  <cp:lastModifiedBy>Pascal Orlando</cp:lastModifiedBy>
  <cp:lastPrinted>2018-02-19T15:20:14Z</cp:lastPrinted>
  <dcterms:created xsi:type="dcterms:W3CDTF">2018-02-19T08:58:32Z</dcterms:created>
  <dcterms:modified xsi:type="dcterms:W3CDTF">2022-10-07T10:56:53Z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0x010100E82B8D8721229542A2EE9CEC0707BD21</vt:lpwstr>
  </property>
</Properties>
</file>